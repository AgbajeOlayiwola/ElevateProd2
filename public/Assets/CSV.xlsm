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ma\Documents\"/>
    </mc:Choice>
  </mc:AlternateContent>
  <xr:revisionPtr revIDLastSave="0" documentId="8_{BEC1B871-9C8F-4443-A90F-DFB62104770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" sheetId="1" r:id="rId1"/>
    <sheet name="PARAM" sheetId="2" r:id="rId2"/>
  </sheets>
  <definedNames>
    <definedName name="_xlnm._FilterDatabase" localSheetId="1" hidden="1">PARAM!$A$1:$C$24</definedName>
    <definedName name="_xlnm.Print_Area" localSheetId="0">DATA!$A$1:$E$13</definedName>
    <definedName name="_xlnm.Print_Titles" localSheetId="0">DATA!$1:$6</definedName>
    <definedName name="TypePaiement">DATA!#REF!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9" i="1" l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D5" i="1" l="1"/>
  <c r="A5" i="1" l="1"/>
</calcChain>
</file>

<file path=xl/sharedStrings.xml><?xml version="1.0" encoding="utf-8"?>
<sst xmlns="http://schemas.openxmlformats.org/spreadsheetml/2006/main" count="113" uniqueCount="105">
  <si>
    <t>CURRENCY</t>
  </si>
  <si>
    <t>PRODUCTCODE</t>
  </si>
  <si>
    <t/>
  </si>
  <si>
    <t>CODEPAYS</t>
  </si>
  <si>
    <t>ECOBANK</t>
  </si>
  <si>
    <t>Batch Comment</t>
  </si>
  <si>
    <t>Batch Reference</t>
  </si>
  <si>
    <t>BENEF NAME</t>
  </si>
  <si>
    <t>BENEF ACCOUNT</t>
  </si>
  <si>
    <t>AMOUNT</t>
  </si>
  <si>
    <t>PAYMENT NARRATIVE</t>
  </si>
  <si>
    <t>PAYMENT REF</t>
  </si>
  <si>
    <t>BANKCODE</t>
  </si>
  <si>
    <t>001</t>
  </si>
  <si>
    <t>014</t>
  </si>
  <si>
    <t>214</t>
  </si>
  <si>
    <t>058</t>
  </si>
  <si>
    <t>033</t>
  </si>
  <si>
    <t>057</t>
  </si>
  <si>
    <t>032</t>
  </si>
  <si>
    <t>076</t>
  </si>
  <si>
    <t>050</t>
  </si>
  <si>
    <t>023</t>
  </si>
  <si>
    <t>068</t>
  </si>
  <si>
    <t>070</t>
  </si>
  <si>
    <t>044</t>
  </si>
  <si>
    <t>082</t>
  </si>
  <si>
    <t>215</t>
  </si>
  <si>
    <t>221</t>
  </si>
  <si>
    <t>232</t>
  </si>
  <si>
    <t>035</t>
  </si>
  <si>
    <t>040</t>
  </si>
  <si>
    <t>301</t>
  </si>
  <si>
    <t>030</t>
  </si>
  <si>
    <t>ACCOUNT VALIDATION</t>
  </si>
  <si>
    <t>CENTRAL BANK OF NIGERIA</t>
  </si>
  <si>
    <t>NG</t>
  </si>
  <si>
    <t>AFRIBANK</t>
  </si>
  <si>
    <t>FBN</t>
  </si>
  <si>
    <t>FCMB</t>
  </si>
  <si>
    <t>GTBANK</t>
  </si>
  <si>
    <t>UBA</t>
  </si>
  <si>
    <t>ZENITHBANK</t>
  </si>
  <si>
    <t>UNIONBANK</t>
  </si>
  <si>
    <t>Citi Bank</t>
  </si>
  <si>
    <t>FIRST CITY MONUMENT BANK PLC</t>
  </si>
  <si>
    <t>ETB</t>
  </si>
  <si>
    <t>JAIZ BANK</t>
  </si>
  <si>
    <t>HERITAGE BANK</t>
  </si>
  <si>
    <t>BANKNAME</t>
  </si>
  <si>
    <t>Client Code</t>
  </si>
  <si>
    <t>Debit Account</t>
  </si>
  <si>
    <t>YES</t>
  </si>
  <si>
    <t>E2</t>
  </si>
  <si>
    <t>PRODUCTNUM</t>
  </si>
  <si>
    <t>PRODUCTENABLED</t>
  </si>
  <si>
    <t>PRODUCTCELL</t>
  </si>
  <si>
    <t>NGN</t>
  </si>
  <si>
    <t>BANKID</t>
  </si>
  <si>
    <t>014151369</t>
  </si>
  <si>
    <t>040150059</t>
  </si>
  <si>
    <t>035340159</t>
  </si>
  <si>
    <t>082150033</t>
  </si>
  <si>
    <t>044150039</t>
  </si>
  <si>
    <t>023150034</t>
  </si>
  <si>
    <t>076151365</t>
  </si>
  <si>
    <t>033152666</t>
  </si>
  <si>
    <t>058152049</t>
  </si>
  <si>
    <t>011153166</t>
  </si>
  <si>
    <t>STANDARD ADDR</t>
  </si>
  <si>
    <t>LAGOS</t>
  </si>
  <si>
    <t>BANK CODE</t>
  </si>
  <si>
    <t>ECOBANKID</t>
  </si>
  <si>
    <t>WEMA BANK</t>
  </si>
  <si>
    <t>ACCESS BANK PLC</t>
  </si>
  <si>
    <t>STANDARD CHARTERED BANK</t>
  </si>
  <si>
    <t>FIDELITY BANK PLC</t>
  </si>
  <si>
    <t>POLARIS</t>
  </si>
  <si>
    <t>KEYSTONE BANK</t>
  </si>
  <si>
    <t>UNITY BANK PLC</t>
  </si>
  <si>
    <t>STANBIC IBTC BANK PLC</t>
  </si>
  <si>
    <t>STERLING BANK PLC</t>
  </si>
  <si>
    <r>
      <t>Payment Date (</t>
    </r>
    <r>
      <rPr>
        <sz val="8"/>
        <color theme="1"/>
        <rFont val="Calibri"/>
        <family val="2"/>
        <scheme val="minor"/>
      </rPr>
      <t>DD/MM/YYYY</t>
    </r>
    <r>
      <rPr>
        <sz val="12"/>
        <color theme="1"/>
        <rFont val="Calibri"/>
        <family val="2"/>
        <scheme val="minor"/>
      </rPr>
      <t>)</t>
    </r>
  </si>
  <si>
    <t>Package Name</t>
  </si>
  <si>
    <t>050150311</t>
  </si>
  <si>
    <t>221159522</t>
  </si>
  <si>
    <t>070020926</t>
  </si>
  <si>
    <t>CBNINGLAXXX</t>
  </si>
  <si>
    <t>NGVENDPAY</t>
  </si>
  <si>
    <t>NGPAYROLL</t>
  </si>
  <si>
    <t>PAYROLL PAYMENT</t>
  </si>
  <si>
    <t>011</t>
  </si>
  <si>
    <t>032080425</t>
  </si>
  <si>
    <t>057020046</t>
  </si>
  <si>
    <t>068120016</t>
  </si>
  <si>
    <t>030150014</t>
  </si>
  <si>
    <t>VENDOR PAYMENTS</t>
  </si>
  <si>
    <t>NO</t>
  </si>
  <si>
    <t>063</t>
  </si>
  <si>
    <t>DIAMOND</t>
  </si>
  <si>
    <t>PAYMENT</t>
  </si>
  <si>
    <t>08082022</t>
  </si>
  <si>
    <t>2036158</t>
  </si>
  <si>
    <t>0262036158</t>
  </si>
  <si>
    <t>julysal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</si>
</sst>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_-* #,##0.00\ _€_-;\-* #,##0.00\ _€_-;_-* &quot;-&quot;??\ _€_-;_-@_-"/>
    <numFmt numFmtId="166" formatCode="_-* #,##0\ _€_-;\-* #,##0\ _€_-;_-* &quot;-&quot;??\ _€_-;_-@_-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C0504D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1"/>
      <color rgb="FF000000"/>
      <name val="Calibri"/>
      <family val="2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MS Shell Dlg"/>
    </font>
    <font>
      <sz val="10"/>
      <name val="Arial"/>
      <family val="2"/>
    </font>
    <font>
      <i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4A4A4A"/>
      <name val="Calibri"/>
      <family val="2"/>
      <scheme val="minor"/>
    </font>
    <font>
      <sz val="10"/>
      <name val="Geometr231 BT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BBB59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0">
    <xf numFmtId="0" fontId="0" fillId="0" borderId="0"/>
    <xf numFmtId="165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164" fontId="15" fillId="0" borderId="0" applyFont="0" applyFill="0" applyBorder="0" applyAlignment="0" applyProtection="0"/>
  </cellStyleXfs>
  <cellXfs count="79">
    <xf numFmtId="0" fontId="0" fillId="0" borderId="0" xfId="0"/>
    <xf numFmtId="49" fontId="4" fillId="0" borderId="0" xfId="0" applyNumberFormat="1" applyFo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4" fillId="0" borderId="0" xfId="0" applyFont="1" applyProtection="1">
      <protection locked="0"/>
    </xf>
    <xf numFmtId="0" fontId="0" fillId="0" borderId="0" xfId="0" applyProtection="1">
      <protection locked="0"/>
    </xf>
    <xf numFmtId="166" fontId="5" fillId="0" borderId="0" xfId="1" applyNumberFormat="1" applyFont="1" applyProtection="1"/>
    <xf numFmtId="0" fontId="4" fillId="0" borderId="0" xfId="0" applyFont="1" applyAlignment="1" applyProtection="1">
      <alignment vertical="center"/>
      <protection locked="0"/>
    </xf>
    <xf numFmtId="0" fontId="4" fillId="0" borderId="3" xfId="0" applyNumberFormat="1" applyFont="1" applyBorder="1" applyProtection="1"/>
    <xf numFmtId="49" fontId="4" fillId="0" borderId="3" xfId="0" applyNumberFormat="1" applyFont="1" applyBorder="1" applyProtection="1">
      <protection locked="0"/>
    </xf>
    <xf numFmtId="166" fontId="4" fillId="0" borderId="0" xfId="1" applyNumberFormat="1" applyFont="1" applyProtection="1"/>
    <xf numFmtId="0" fontId="5" fillId="3" borderId="1" xfId="0" applyFont="1" applyFill="1" applyBorder="1" applyAlignment="1" applyProtection="1">
      <alignment horizontal="center" vertical="center"/>
    </xf>
    <xf numFmtId="0" fontId="2" fillId="0" borderId="0" xfId="0" applyFont="1"/>
    <xf numFmtId="0" fontId="2" fillId="4" borderId="0" xfId="0" applyFont="1" applyFill="1"/>
    <xf numFmtId="0" fontId="0" fillId="4" borderId="0" xfId="0" applyFill="1"/>
    <xf numFmtId="166" fontId="5" fillId="0" borderId="0" xfId="1" applyNumberFormat="1" applyFont="1" applyAlignment="1" applyProtection="1">
      <alignment horizontal="left" vertical="center"/>
    </xf>
    <xf numFmtId="49" fontId="0" fillId="4" borderId="0" xfId="0" applyNumberFormat="1" applyFill="1"/>
    <xf numFmtId="166" fontId="6" fillId="0" borderId="0" xfId="1" applyNumberFormat="1" applyFont="1" applyProtection="1"/>
    <xf numFmtId="165" fontId="5" fillId="0" borderId="0" xfId="1" applyFont="1" applyProtection="1">
      <protection locked="0"/>
    </xf>
    <xf numFmtId="165" fontId="4" fillId="0" borderId="0" xfId="1" applyFont="1" applyProtection="1">
      <protection locked="0"/>
    </xf>
    <xf numFmtId="165" fontId="5" fillId="0" borderId="0" xfId="1" applyFont="1" applyAlignment="1" applyProtection="1">
      <alignment horizontal="left" vertical="center"/>
    </xf>
    <xf numFmtId="49" fontId="4" fillId="0" borderId="0" xfId="0" applyNumberFormat="1" applyFont="1" applyAlignment="1" applyProtection="1">
      <alignment horizontal="right"/>
    </xf>
    <xf numFmtId="0" fontId="0" fillId="0" borderId="0" xfId="0" applyFont="1"/>
    <xf numFmtId="0" fontId="11" fillId="0" borderId="0" xfId="0" applyFont="1"/>
    <xf numFmtId="0" fontId="12" fillId="0" borderId="0" xfId="0" applyFont="1"/>
    <xf numFmtId="0" fontId="0" fillId="0" borderId="0" xfId="0" applyAlignment="1">
      <alignment horizontal="left"/>
    </xf>
    <xf numFmtId="166" fontId="13" fillId="0" borderId="0" xfId="1" applyNumberFormat="1" applyFont="1" applyAlignment="1" applyProtection="1">
      <alignment vertical="center"/>
      <protection locked="0"/>
    </xf>
    <xf numFmtId="49" fontId="2" fillId="0" borderId="0" xfId="0" applyNumberFormat="1" applyFont="1"/>
    <xf numFmtId="49" fontId="0" fillId="0" borderId="0" xfId="0" applyNumberFormat="1"/>
    <xf numFmtId="0" fontId="5" fillId="0" borderId="1" xfId="1" applyNumberFormat="1" applyFont="1" applyBorder="1" applyAlignment="1" applyProtection="1">
      <alignment horizontal="center" vertical="center"/>
    </xf>
    <xf numFmtId="49" fontId="5" fillId="0" borderId="1" xfId="0" applyNumberFormat="1" applyFont="1" applyBorder="1" applyAlignment="1" applyProtection="1">
      <alignment horizontal="center" vertical="center"/>
    </xf>
    <xf numFmtId="165" fontId="5" fillId="0" borderId="2" xfId="1" applyFont="1" applyBorder="1" applyAlignment="1" applyProtection="1">
      <alignment horizontal="center" vertical="center" wrapText="1"/>
    </xf>
    <xf numFmtId="49" fontId="5" fillId="2" borderId="1" xfId="0" applyNumberFormat="1" applyFont="1" applyFill="1" applyBorder="1" applyAlignment="1" applyProtection="1">
      <alignment horizontal="center" vertical="center"/>
    </xf>
    <xf numFmtId="0" fontId="5" fillId="2" borderId="1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right"/>
    </xf>
    <xf numFmtId="49" fontId="5" fillId="0" borderId="0" xfId="1" applyNumberFormat="1" applyFont="1" applyProtection="1"/>
    <xf numFmtId="49" fontId="5" fillId="0" borderId="1" xfId="1" applyNumberFormat="1" applyFont="1" applyBorder="1" applyAlignment="1" applyProtection="1">
      <alignment horizontal="center" vertical="center"/>
    </xf>
    <xf numFmtId="49" fontId="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9" fillId="0" borderId="0" xfId="0" applyNumberFormat="1" applyFont="1" applyAlignment="1" applyProtection="1">
      <alignment vertical="center"/>
    </xf>
    <xf numFmtId="166" fontId="13" fillId="0" borderId="0" xfId="1" applyNumberFormat="1" applyFont="1" applyAlignment="1" applyProtection="1">
      <alignment vertical="center"/>
    </xf>
    <xf numFmtId="49" fontId="4" fillId="0" borderId="0" xfId="0" applyNumberFormat="1" applyFont="1" applyProtection="1"/>
    <xf numFmtId="165" fontId="4" fillId="0" borderId="0" xfId="1" applyFont="1" applyProtection="1"/>
    <xf numFmtId="14" fontId="16" fillId="0" borderId="0" xfId="1" applyNumberFormat="1" applyFont="1" applyAlignment="1" applyProtection="1">
      <alignment horizontal="left"/>
    </xf>
    <xf numFmtId="0" fontId="4" fillId="0" borderId="0" xfId="0" applyFont="1" applyProtection="1"/>
    <xf numFmtId="0" fontId="18" fillId="0" borderId="0" xfId="0" applyFont="1"/>
    <xf numFmtId="14" fontId="13" fillId="0" borderId="0" xfId="1" quotePrefix="1" applyNumberFormat="1" applyFont="1" applyAlignment="1" applyProtection="1">
      <alignment horizontal="left"/>
      <protection locked="0"/>
    </xf>
    <xf numFmtId="0" fontId="0" fillId="0" borderId="0" xfId="0" quotePrefix="1"/>
    <xf numFmtId="49" fontId="0" fillId="0" borderId="3" xfId="2" quotePrefix="1" applyNumberFormat="1" applyFont="1" applyFill="1" applyBorder="1" applyProtection="1">
      <protection locked="0"/>
    </xf>
    <xf numFmtId="49" fontId="8" fillId="0" borderId="0" xfId="0" quotePrefix="1" applyNumberFormat="1" applyFont="1" applyAlignment="1" applyProtection="1">
      <alignment vertical="center"/>
    </xf>
    <xf numFmtId="0" fontId="4" fillId="0" borderId="3" xfId="2" applyFont="1" applyFill="1" applyBorder="1" applyProtection="1">
      <protection locked="0"/>
    </xf>
    <xf numFmtId="165" fontId="4" fillId="0" borderId="3" xfId="1" applyFont="1" applyFill="1" applyBorder="1" applyProtection="1">
      <protection locked="0"/>
    </xf>
    <xf numFmtId="49" fontId="7" fillId="0" borderId="3" xfId="0" applyNumberFormat="1" applyFont="1" applyFill="1" applyBorder="1" applyAlignment="1" applyProtection="1">
      <alignment horizontal="center"/>
      <protection locked="0"/>
    </xf>
    <xf numFmtId="0" fontId="19" fillId="5" borderId="3" xfId="0" applyFont="1" applyFill="1" applyBorder="1"/>
    <xf numFmtId="165" fontId="4" fillId="0" borderId="4" xfId="1" applyFont="1" applyFill="1" applyBorder="1" applyProtection="1">
      <protection locked="0"/>
    </xf>
    <xf numFmtId="49" fontId="4" fillId="0" borderId="0" xfId="0" applyNumberFormat="1" applyFont="1" applyAlignment="1">
      <alignment horizontal="right"/>
    </xf>
    <xf numFmtId="0" fontId="20" fillId="0" borderId="3" xfId="0" quotePrefix="1" applyFont="1" applyBorder="1" applyAlignment="1">
      <alignment horizontal="left"/>
    </xf>
    <xf numFmtId="0" fontId="11" fillId="0" borderId="3" xfId="0" applyFont="1" applyBorder="1"/>
    <xf numFmtId="49" fontId="11" fillId="0" borderId="3" xfId="0" applyNumberFormat="1" applyFont="1" applyBorder="1" applyAlignment="1">
      <alignment horizontal="left"/>
    </xf>
    <xf numFmtId="165" fontId="11" fillId="0" borderId="3" xfId="1" applyFont="1" applyBorder="1"/>
    <xf numFmtId="49" fontId="11" fillId="0" borderId="3" xfId="0" quotePrefix="1" applyNumberFormat="1" applyFont="1" applyBorder="1" applyAlignment="1">
      <alignment horizontal="left"/>
    </xf>
    <xf numFmtId="0" fontId="21" fillId="0" borderId="3" xfId="0" applyFont="1" applyBorder="1"/>
    <xf numFmtId="49" fontId="21" fillId="0" borderId="3" xfId="0" applyNumberFormat="1" applyFont="1" applyBorder="1" applyAlignment="1">
      <alignment horizontal="left"/>
    </xf>
    <xf numFmtId="165" fontId="21" fillId="0" borderId="3" xfId="1" applyFont="1" applyBorder="1"/>
    <xf numFmtId="0" fontId="11" fillId="0" borderId="3" xfId="0" applyFont="1" applyBorder="1" applyAlignment="1">
      <alignment horizontal="left"/>
    </xf>
    <xf numFmtId="0" fontId="11" fillId="0" borderId="3" xfId="0" quotePrefix="1" applyFont="1" applyBorder="1" applyAlignment="1">
      <alignment horizontal="left"/>
    </xf>
    <xf numFmtId="0" fontId="21" fillId="0" borderId="3" xfId="0" quotePrefix="1" applyFont="1" applyBorder="1" applyAlignment="1">
      <alignment horizontal="left"/>
    </xf>
    <xf numFmtId="165" fontId="1" fillId="0" borderId="3" xfId="1" applyFont="1" applyBorder="1"/>
    <xf numFmtId="0" fontId="0" fillId="0" borderId="3" xfId="0" applyBorder="1" applyAlignment="1">
      <alignment horizontal="left"/>
    </xf>
    <xf numFmtId="0" fontId="0" fillId="0" borderId="3" xfId="0" quotePrefix="1" applyBorder="1" applyAlignment="1">
      <alignment horizontal="left"/>
    </xf>
    <xf numFmtId="49" fontId="22" fillId="0" borderId="3" xfId="0" applyNumberFormat="1" applyFont="1" applyBorder="1" applyAlignment="1">
      <alignment horizontal="left"/>
    </xf>
    <xf numFmtId="0" fontId="22" fillId="0" borderId="3" xfId="0" quotePrefix="1" applyFont="1" applyBorder="1" applyAlignment="1">
      <alignment horizontal="left"/>
    </xf>
    <xf numFmtId="165" fontId="23" fillId="0" borderId="3" xfId="1" applyFont="1" applyBorder="1"/>
    <xf numFmtId="165" fontId="1" fillId="0" borderId="3" xfId="1" applyFont="1" applyFill="1" applyBorder="1"/>
    <xf numFmtId="0" fontId="21" fillId="0" borderId="3" xfId="0" applyFont="1" applyBorder="1" applyAlignment="1">
      <alignment horizontal="left"/>
    </xf>
    <xf numFmtId="165" fontId="11" fillId="0" borderId="3" xfId="1" applyFont="1" applyFill="1" applyBorder="1"/>
    <xf numFmtId="164" fontId="11" fillId="0" borderId="3" xfId="0" quotePrefix="1" applyNumberFormat="1" applyFont="1" applyBorder="1"/>
    <xf numFmtId="165" fontId="0" fillId="0" borderId="3" xfId="1" applyFont="1" applyBorder="1"/>
    <xf numFmtId="165" fontId="11" fillId="0" borderId="0" xfId="1" applyFont="1"/>
    <xf numFmtId="0" fontId="11" fillId="0" borderId="5" xfId="0" applyFont="1" applyBorder="1"/>
  </cellXfs>
  <cellStyles count="10">
    <cellStyle name="Comma" xfId="1" builtinId="3"/>
    <cellStyle name="Comma 2" xfId="3" xr:uid="{00000000-0005-0000-0000-000001000000}"/>
    <cellStyle name="Comma 2 2" xfId="9" xr:uid="{399FA89E-7012-4C9E-B7BF-E4EEA21E8658}"/>
    <cellStyle name="Normal" xfId="0" builtinId="0"/>
    <cellStyle name="Normal 10" xfId="4" xr:uid="{00000000-0005-0000-0000-000003000000}"/>
    <cellStyle name="Normal 2" xfId="5" xr:uid="{00000000-0005-0000-0000-000004000000}"/>
    <cellStyle name="Normal 25" xfId="6" xr:uid="{00000000-0005-0000-0000-000005000000}"/>
    <cellStyle name="Normal 27" xfId="7" xr:uid="{00000000-0005-0000-0000-000006000000}"/>
    <cellStyle name="Normal 3" xfId="8" xr:uid="{00000000-0005-0000-0000-000007000000}"/>
    <cellStyle name="Normal 4" xfId="2" xr:uid="{00000000-0005-0000-0000-000008000000}"/>
  </cellStyles>
  <dxfs count="12"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C0504D"/>
      <color rgb="FF9BBB59"/>
      <color rgb="FF9BBB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0</xdr:row>
          <xdr:rowOff>68580</xdr:rowOff>
        </xdr:from>
        <xdr:to>
          <xdr:col>1</xdr:col>
          <xdr:colOff>15240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G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OMNI FILE UPLOAD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1266825</xdr:colOff>
      <xdr:row>0</xdr:row>
      <xdr:rowOff>28575</xdr:rowOff>
    </xdr:from>
    <xdr:to>
      <xdr:col>6</xdr:col>
      <xdr:colOff>1207900</xdr:colOff>
      <xdr:row>4</xdr:row>
      <xdr:rowOff>171665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5450" y="28575"/>
          <a:ext cx="1500000" cy="9431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5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6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7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38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39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0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1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2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3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4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5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46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47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50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51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5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5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177800</xdr:colOff>
      <xdr:row>23</xdr:row>
      <xdr:rowOff>88900</xdr:rowOff>
    </xdr:to>
    <xdr:pic>
      <xdr:nvPicPr>
        <xdr:cNvPr id="54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177800</xdr:colOff>
      <xdr:row>24</xdr:row>
      <xdr:rowOff>88900</xdr:rowOff>
    </xdr:to>
    <xdr:pic>
      <xdr:nvPicPr>
        <xdr:cNvPr id="55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9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0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1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2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3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7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90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91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2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3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4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5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6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7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98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99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00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01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0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0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7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8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9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0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1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5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6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7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38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39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0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1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2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3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4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5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46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47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50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51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5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5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7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8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9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0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1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5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6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88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89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0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1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2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3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4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5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96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97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200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201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5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6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7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8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9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3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3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3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3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3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4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5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36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37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38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39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40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41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42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43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244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245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24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24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248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249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250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251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5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5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5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55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5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5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5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5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6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6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6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6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6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6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66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67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68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69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7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7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7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73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7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7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7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7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7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7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8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8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8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8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4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5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86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87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88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89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90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91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92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93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294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295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2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2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2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2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0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0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0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0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0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0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0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0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0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0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1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1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1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1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1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1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1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1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1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1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2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2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4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2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2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2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2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2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2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2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2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3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3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4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4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33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33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33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33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33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33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34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34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5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34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34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3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3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346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347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3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3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177800</xdr:colOff>
      <xdr:row>23</xdr:row>
      <xdr:rowOff>88900</xdr:rowOff>
    </xdr:to>
    <xdr:pic>
      <xdr:nvPicPr>
        <xdr:cNvPr id="350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177800</xdr:colOff>
      <xdr:row>24</xdr:row>
      <xdr:rowOff>88900</xdr:rowOff>
    </xdr:to>
    <xdr:pic>
      <xdr:nvPicPr>
        <xdr:cNvPr id="351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5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5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5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55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5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5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5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5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6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6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6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6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6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6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66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67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68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69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7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7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37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73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7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7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7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7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7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7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8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8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8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38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4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5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8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386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387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388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389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390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391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392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393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394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395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3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3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3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3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0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0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0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0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0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0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0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0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0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0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1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1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1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1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1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1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1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1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1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1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2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2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A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2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2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2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2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2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2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2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2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3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3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43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43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3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3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3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3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4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4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44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44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4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4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446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447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4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4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5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5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5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5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5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5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5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5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5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5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6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6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6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6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6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6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6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6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6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6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7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7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7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7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7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7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7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7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7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7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8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48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48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48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8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8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8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8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9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49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49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49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4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4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4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4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9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49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0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0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0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0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0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F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0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F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0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F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0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0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0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1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1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1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1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1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1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0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1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1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1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1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0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2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2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2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2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2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2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2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2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2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2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53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53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53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53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53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53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53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53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54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54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54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54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544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545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54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54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4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4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5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5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5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5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5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5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5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5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5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5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6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6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6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6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6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6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6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6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56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6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3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7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7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7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7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7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7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7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7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7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57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58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58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58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58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58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58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58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4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58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4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59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59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59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59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5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5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12700</xdr:colOff>
      <xdr:row>20</xdr:row>
      <xdr:rowOff>0</xdr:rowOff>
    </xdr:to>
    <xdr:pic>
      <xdr:nvPicPr>
        <xdr:cNvPr id="596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12700</xdr:colOff>
      <xdr:row>20</xdr:row>
      <xdr:rowOff>0</xdr:rowOff>
    </xdr:to>
    <xdr:pic>
      <xdr:nvPicPr>
        <xdr:cNvPr id="597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12700</xdr:colOff>
      <xdr:row>22</xdr:row>
      <xdr:rowOff>0</xdr:rowOff>
    </xdr:to>
    <xdr:pic>
      <xdr:nvPicPr>
        <xdr:cNvPr id="5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12700</xdr:colOff>
      <xdr:row>22</xdr:row>
      <xdr:rowOff>0</xdr:rowOff>
    </xdr:to>
    <xdr:pic>
      <xdr:nvPicPr>
        <xdr:cNvPr id="5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0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0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0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0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5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0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0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0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0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0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0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1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1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1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1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1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6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1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1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6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1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6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1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1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2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2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6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2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2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2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2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2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2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2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2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3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3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7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63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7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63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7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63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63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63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63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64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64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64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8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64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8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6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8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6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8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646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8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647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8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6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8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6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8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177800</xdr:colOff>
      <xdr:row>23</xdr:row>
      <xdr:rowOff>88900</xdr:rowOff>
    </xdr:to>
    <xdr:pic>
      <xdr:nvPicPr>
        <xdr:cNvPr id="650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8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177800</xdr:colOff>
      <xdr:row>24</xdr:row>
      <xdr:rowOff>88900</xdr:rowOff>
    </xdr:to>
    <xdr:pic>
      <xdr:nvPicPr>
        <xdr:cNvPr id="651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8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5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5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5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55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8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5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5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5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5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6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6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6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6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6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6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66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9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67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9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68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69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9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7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7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67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73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A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7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7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7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7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7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7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8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8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A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8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A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68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A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4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A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5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A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686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A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687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A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688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689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690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B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691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692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693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694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B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695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B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6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B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6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B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6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B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6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B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0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0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0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0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B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0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0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0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0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0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0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1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1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1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1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1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C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1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C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1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C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1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C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1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1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2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2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D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2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2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2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2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2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2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2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2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3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3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D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D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73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D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73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D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73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73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73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E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73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74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74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74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E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74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E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7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7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746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E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747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E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7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7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5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5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5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5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F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5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F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5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F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5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F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5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F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5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F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5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6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F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6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6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6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6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F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6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F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6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F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6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F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6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6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7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7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0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7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7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7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7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7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7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7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7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8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78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0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0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78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1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78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1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78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1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78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1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78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1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78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1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79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1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79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1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79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1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79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7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7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7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7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9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79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0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0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0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0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0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0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0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0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0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0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1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1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1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2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1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2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1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2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1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2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1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1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1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1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3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2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2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2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2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2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2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2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2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2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2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3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3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83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83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83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4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83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4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83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4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83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4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83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4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83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4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84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84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84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84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844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4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845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4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84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84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4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4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5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5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5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5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5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5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5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5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5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5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5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6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6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6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5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6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5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6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6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6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6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6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6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6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6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6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7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7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7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7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7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7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7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7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7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87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7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7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88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7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88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7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88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88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88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88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88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88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89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7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89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7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89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89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8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8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9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9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9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899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8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0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0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0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0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0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0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0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0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0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0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10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11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12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9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13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9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1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1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1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17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9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1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1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2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2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2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2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2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2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2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2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28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A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29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A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930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A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931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A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32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33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34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35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36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37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938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A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939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A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940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941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942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A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943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A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9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B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9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B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177800</xdr:colOff>
      <xdr:row>23</xdr:row>
      <xdr:rowOff>88900</xdr:rowOff>
    </xdr:to>
    <xdr:pic>
      <xdr:nvPicPr>
        <xdr:cNvPr id="946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B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177800</xdr:colOff>
      <xdr:row>24</xdr:row>
      <xdr:rowOff>88900</xdr:rowOff>
    </xdr:to>
    <xdr:pic>
      <xdr:nvPicPr>
        <xdr:cNvPr id="947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B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4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4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5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5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B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5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5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5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5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5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5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5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5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6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6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6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C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6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C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6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C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6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C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6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6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6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6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C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7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7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7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7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7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7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7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7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7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97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D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D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98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D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98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D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8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8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8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8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8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98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99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D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99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D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99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99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9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9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9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9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9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999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E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0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0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0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0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0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0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0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0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0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0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10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F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11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F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12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F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13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F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1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1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1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17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F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1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F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1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F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2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F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2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F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2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F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2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2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2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2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2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2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03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03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03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03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03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03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03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03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03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04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0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0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043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044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04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04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4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4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4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5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5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5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5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5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5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5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5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5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5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6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6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6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6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6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6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6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6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6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6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7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7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7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7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7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7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7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7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7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7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08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08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08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08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08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08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08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08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08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09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0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0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09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09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9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9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9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09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09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0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0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0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0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0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0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0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0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0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0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1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1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1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1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1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1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1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1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1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1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2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2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2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2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2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2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2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2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2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12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13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13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13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13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13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13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13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13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13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13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14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141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142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14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14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4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4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4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4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4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5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5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5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5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5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5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5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5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5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5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6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6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6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6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6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6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6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6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6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6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7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7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7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7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7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7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17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7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7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17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18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18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18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18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18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18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18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18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18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18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19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1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1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12700</xdr:colOff>
      <xdr:row>20</xdr:row>
      <xdr:rowOff>0</xdr:rowOff>
    </xdr:to>
    <xdr:pic>
      <xdr:nvPicPr>
        <xdr:cNvPr id="1193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12700</xdr:colOff>
      <xdr:row>20</xdr:row>
      <xdr:rowOff>0</xdr:rowOff>
    </xdr:to>
    <xdr:pic>
      <xdr:nvPicPr>
        <xdr:cNvPr id="1194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12700</xdr:colOff>
      <xdr:row>22</xdr:row>
      <xdr:rowOff>0</xdr:rowOff>
    </xdr:to>
    <xdr:pic>
      <xdr:nvPicPr>
        <xdr:cNvPr id="119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12700</xdr:colOff>
      <xdr:row>22</xdr:row>
      <xdr:rowOff>0</xdr:rowOff>
    </xdr:to>
    <xdr:pic>
      <xdr:nvPicPr>
        <xdr:cNvPr id="119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9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9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19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0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0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0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0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0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0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0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0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0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0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1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1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1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1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1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1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1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1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1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1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2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2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2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2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2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2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2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2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2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2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23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23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23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23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23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23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23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23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23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24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2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2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243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244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24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24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177800</xdr:colOff>
      <xdr:row>23</xdr:row>
      <xdr:rowOff>88900</xdr:rowOff>
    </xdr:to>
    <xdr:pic>
      <xdr:nvPicPr>
        <xdr:cNvPr id="1247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177800</xdr:colOff>
      <xdr:row>24</xdr:row>
      <xdr:rowOff>88900</xdr:rowOff>
    </xdr:to>
    <xdr:pic>
      <xdr:nvPicPr>
        <xdr:cNvPr id="1248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4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5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5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52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5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5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5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5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5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5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5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6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6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6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63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64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65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66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6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6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6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70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7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7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7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7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7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7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7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7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7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28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1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2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283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284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28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28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28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28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28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29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291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292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29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29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29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29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9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9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29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0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0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0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0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0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0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0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0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0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0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1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1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1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1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1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1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1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1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1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1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2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2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2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2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2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2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2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2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2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2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33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33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33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33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33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33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33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33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33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34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3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3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343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344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34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34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4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4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4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5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5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5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5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5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5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5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5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5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5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6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6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6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6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6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6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6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6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6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6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7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7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7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7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7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7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7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7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7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7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38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38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38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38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38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38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38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38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38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39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3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3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39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39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9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9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9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39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39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0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0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0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0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0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0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0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0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0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0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1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1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1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1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1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1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1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1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1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1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2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2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2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2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2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2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2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2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2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42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43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3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3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3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3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3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3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43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43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43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44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441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442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44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44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4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4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4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4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4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5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5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5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5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5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5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5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5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5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5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6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6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6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6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6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6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6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6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6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6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7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7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7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7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7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7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7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7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7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47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48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8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8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8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8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8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48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48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48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D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48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49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4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4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D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9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9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9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49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D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9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9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49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0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0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0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0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0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0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0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0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0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0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1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1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1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1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1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1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1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1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1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1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2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2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2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2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2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52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52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F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52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53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53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53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53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53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535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536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537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538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539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540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5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5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177800</xdr:colOff>
      <xdr:row>23</xdr:row>
      <xdr:rowOff>88900</xdr:rowOff>
    </xdr:to>
    <xdr:pic>
      <xdr:nvPicPr>
        <xdr:cNvPr id="1543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177800</xdr:colOff>
      <xdr:row>24</xdr:row>
      <xdr:rowOff>88900</xdr:rowOff>
    </xdr:to>
    <xdr:pic>
      <xdr:nvPicPr>
        <xdr:cNvPr id="1544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4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4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4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4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4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5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5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5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5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5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5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5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5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5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5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6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1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6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6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6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6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6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6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6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6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6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7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7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7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7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7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7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7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7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7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57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58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58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58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58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58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58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58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58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58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58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59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5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5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9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9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9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59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9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9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59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0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0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0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0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0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0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0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0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0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0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1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1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1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1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1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1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1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1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1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1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2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2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2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2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2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2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5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2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62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62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62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63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63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63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63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63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635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636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637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638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639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640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6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6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4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4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4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4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4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4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4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5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5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5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5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5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5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5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5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5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5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6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6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6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6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6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6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6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6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6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6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7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7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7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7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7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7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8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7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67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8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67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67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68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68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68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68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68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685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9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686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687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688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68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69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9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9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9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694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9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9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9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9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69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0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0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0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0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A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0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05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A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06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07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A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08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0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1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1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12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1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1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1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1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1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1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1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2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2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2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3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B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4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B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725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B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726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72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72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72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73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73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73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733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734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73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73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737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1738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73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74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4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4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4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44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4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4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4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4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4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5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5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5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5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5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55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56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D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57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D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58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D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5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6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6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62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E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6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6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6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6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6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6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6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7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7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7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3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4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E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775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E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776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F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77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77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77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78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78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78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783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177800</xdr:colOff>
      <xdr:row>17</xdr:row>
      <xdr:rowOff>88900</xdr:rowOff>
    </xdr:to>
    <xdr:pic>
      <xdr:nvPicPr>
        <xdr:cNvPr id="1784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78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178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787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177800</xdr:colOff>
      <xdr:row>19</xdr:row>
      <xdr:rowOff>88900</xdr:rowOff>
    </xdr:to>
    <xdr:pic>
      <xdr:nvPicPr>
        <xdr:cNvPr id="1788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12700</xdr:colOff>
      <xdr:row>20</xdr:row>
      <xdr:rowOff>0</xdr:rowOff>
    </xdr:to>
    <xdr:pic>
      <xdr:nvPicPr>
        <xdr:cNvPr id="178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12700</xdr:colOff>
      <xdr:row>20</xdr:row>
      <xdr:rowOff>0</xdr:rowOff>
    </xdr:to>
    <xdr:pic>
      <xdr:nvPicPr>
        <xdr:cNvPr id="179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12700</xdr:colOff>
      <xdr:row>22</xdr:row>
      <xdr:rowOff>0</xdr:rowOff>
    </xdr:to>
    <xdr:pic>
      <xdr:nvPicPr>
        <xdr:cNvPr id="17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12700</xdr:colOff>
      <xdr:row>22</xdr:row>
      <xdr:rowOff>0</xdr:rowOff>
    </xdr:to>
    <xdr:pic>
      <xdr:nvPicPr>
        <xdr:cNvPr id="17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9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9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9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79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0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9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9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79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0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0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0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0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0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0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0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0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0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0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1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0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1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1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1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1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1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1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1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1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1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1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1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1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2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2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2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2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2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2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2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26" name="Picture 5119" descr="http://www.geonames.org/flags/x/ng.gif" hidden="1">
          <a:extLst>
            <a:ext uri="{FF2B5EF4-FFF2-40B4-BE49-F238E27FC236}">
              <a16:creationId xmlns:a16="http://schemas.microsoft.com/office/drawing/2014/main" id="{00000000-0008-0000-0000-00002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82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2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82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2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82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83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83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83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2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83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2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83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2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3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3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3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3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3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4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4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4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4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4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4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4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4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4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4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3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5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3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5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3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5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3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5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5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5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5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4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5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5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5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4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6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6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6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6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6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6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6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6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4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6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4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86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87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87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4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87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5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87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5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87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5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87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87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5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7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7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7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8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5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8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8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8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8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8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8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8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8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8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9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9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9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9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9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9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9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89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9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89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0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0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0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0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0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0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0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0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0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0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91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91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1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1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1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1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1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1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1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2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2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22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2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2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2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2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2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2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2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3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3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3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33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34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35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8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36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9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3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3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3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40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9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4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4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4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4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4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4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4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4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4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5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1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9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2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A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953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A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954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A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5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5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5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5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5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6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6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6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6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64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A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6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6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6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6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6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7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7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7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7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7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75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B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76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B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77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B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78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B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7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8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198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82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B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8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8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8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8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8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8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8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9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9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199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3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C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4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C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995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C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1996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C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9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9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199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0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0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0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0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0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0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0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D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0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0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0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1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1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1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1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1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1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1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1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E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1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E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1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E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2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E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2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2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2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2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E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2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2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2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2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2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3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3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3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3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3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3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F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3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F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03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F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03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F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3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4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4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4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4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4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4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4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4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4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4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5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5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5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5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5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5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5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5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5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5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6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6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6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6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6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6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6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6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6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6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7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7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7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7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7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7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7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7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7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07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08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8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8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8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8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8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08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8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8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8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09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9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9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9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9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9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9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9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9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09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0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0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0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0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0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0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0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0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0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0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1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1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1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1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1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1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1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1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1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1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12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12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12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12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12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12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12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12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2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3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3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32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3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3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3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3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3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3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3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4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4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4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43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5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44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6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45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6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46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6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4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4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4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50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6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5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5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5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5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5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5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5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5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5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6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1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7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2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7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163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7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164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7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16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16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16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16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16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17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7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7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7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74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7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7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7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7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7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7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8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8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8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8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8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85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86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87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8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88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8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8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9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19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92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9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9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9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9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9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9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9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19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0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0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0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3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9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4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9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205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9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206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9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0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0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0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1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1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1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1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1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1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1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A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1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1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1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2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2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2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2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2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2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2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2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B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2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B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2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B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3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B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3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3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3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3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B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3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3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3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3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3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4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4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4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4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4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4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C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4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C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24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C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24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C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4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5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5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5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5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5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5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5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5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5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D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5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6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6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6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6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6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6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6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6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6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6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D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7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D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7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D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7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E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7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7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101600</xdr:rowOff>
    </xdr:to>
    <xdr:pic>
      <xdr:nvPicPr>
        <xdr:cNvPr id="227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7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E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7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7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7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8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8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8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8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8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8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28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8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E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8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F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28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F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177800</xdr:colOff>
      <xdr:row>9</xdr:row>
      <xdr:rowOff>88900</xdr:rowOff>
    </xdr:to>
    <xdr:pic>
      <xdr:nvPicPr>
        <xdr:cNvPr id="229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F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9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9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9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9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9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177800</xdr:colOff>
      <xdr:row>11</xdr:row>
      <xdr:rowOff>88900</xdr:rowOff>
    </xdr:to>
    <xdr:pic>
      <xdr:nvPicPr>
        <xdr:cNvPr id="229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29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29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29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0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0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0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0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0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0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0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0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0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0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0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1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1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1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1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1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1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0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1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0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1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1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1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2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2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2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2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2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2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1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2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1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2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1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2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2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3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3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3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3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3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3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3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3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3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3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4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4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4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4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4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4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4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4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5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5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5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5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5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5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5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5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5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5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6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6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6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6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6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6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6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6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6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6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7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7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7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7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7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7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4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7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4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7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7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7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8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8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8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8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8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8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5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8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5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8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8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8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9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3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9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39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9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5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39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5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9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9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39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40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40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40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40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40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40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6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40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6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40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40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40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139700</xdr:colOff>
      <xdr:row>17</xdr:row>
      <xdr:rowOff>88900</xdr:rowOff>
    </xdr:to>
    <xdr:pic>
      <xdr:nvPicPr>
        <xdr:cNvPr id="241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41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139700</xdr:colOff>
      <xdr:row>18</xdr:row>
      <xdr:rowOff>88900</xdr:rowOff>
    </xdr:to>
    <xdr:pic>
      <xdr:nvPicPr>
        <xdr:cNvPr id="241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41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139700</xdr:colOff>
      <xdr:row>19</xdr:row>
      <xdr:rowOff>88900</xdr:rowOff>
    </xdr:to>
    <xdr:pic>
      <xdr:nvPicPr>
        <xdr:cNvPr id="241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41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6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139700</xdr:colOff>
      <xdr:row>20</xdr:row>
      <xdr:rowOff>88900</xdr:rowOff>
    </xdr:to>
    <xdr:pic>
      <xdr:nvPicPr>
        <xdr:cNvPr id="241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7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1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1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1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2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2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2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2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2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2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2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2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2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2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3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3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3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3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3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3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3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8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3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8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3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3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4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4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4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8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4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8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4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4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4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4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4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4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5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5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5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5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5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5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5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5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5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5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6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6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6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6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6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6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6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6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6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6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7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7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7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7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7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7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7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7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7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7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8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8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8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8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8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8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B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8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8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8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8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9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9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B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9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9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9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9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9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9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9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49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0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0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0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0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0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0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0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0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0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0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1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1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1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1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1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1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1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1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1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1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2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2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2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2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2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2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2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2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2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2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3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3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3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3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E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3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3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3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3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3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3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E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4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4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4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4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4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4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4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4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4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4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5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5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5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5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5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5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5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5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5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5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12700</xdr:colOff>
      <xdr:row>18</xdr:row>
      <xdr:rowOff>88900</xdr:rowOff>
    </xdr:to>
    <xdr:pic>
      <xdr:nvPicPr>
        <xdr:cNvPr id="256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00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2561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1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2562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2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2563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3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2564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4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2565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5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177800</xdr:colOff>
      <xdr:row>20</xdr:row>
      <xdr:rowOff>88900</xdr:rowOff>
    </xdr:to>
    <xdr:pic>
      <xdr:nvPicPr>
        <xdr:cNvPr id="2566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6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177800</xdr:colOff>
      <xdr:row>21</xdr:row>
      <xdr:rowOff>88900</xdr:rowOff>
    </xdr:to>
    <xdr:pic>
      <xdr:nvPicPr>
        <xdr:cNvPr id="2567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177800</xdr:colOff>
      <xdr:row>21</xdr:row>
      <xdr:rowOff>88900</xdr:rowOff>
    </xdr:to>
    <xdr:pic>
      <xdr:nvPicPr>
        <xdr:cNvPr id="2568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8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177800</xdr:colOff>
      <xdr:row>21</xdr:row>
      <xdr:rowOff>88900</xdr:rowOff>
    </xdr:to>
    <xdr:pic>
      <xdr:nvPicPr>
        <xdr:cNvPr id="2569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9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177800</xdr:colOff>
      <xdr:row>21</xdr:row>
      <xdr:rowOff>88900</xdr:rowOff>
    </xdr:to>
    <xdr:pic>
      <xdr:nvPicPr>
        <xdr:cNvPr id="2570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A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177800</xdr:colOff>
      <xdr:row>21</xdr:row>
      <xdr:rowOff>88900</xdr:rowOff>
    </xdr:to>
    <xdr:pic>
      <xdr:nvPicPr>
        <xdr:cNvPr id="2571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B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177800</xdr:colOff>
      <xdr:row>21</xdr:row>
      <xdr:rowOff>88900</xdr:rowOff>
    </xdr:to>
    <xdr:pic>
      <xdr:nvPicPr>
        <xdr:cNvPr id="2572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C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2573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0D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2574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0E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2575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0F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2576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10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2577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11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177800</xdr:colOff>
      <xdr:row>18</xdr:row>
      <xdr:rowOff>88900</xdr:rowOff>
    </xdr:to>
    <xdr:pic>
      <xdr:nvPicPr>
        <xdr:cNvPr id="2578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12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579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3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580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4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581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5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582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6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583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177800</xdr:colOff>
      <xdr:row>6</xdr:row>
      <xdr:rowOff>88900</xdr:rowOff>
    </xdr:to>
    <xdr:pic>
      <xdr:nvPicPr>
        <xdr:cNvPr id="2584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8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30480</xdr:rowOff>
        </xdr:from>
        <xdr:to>
          <xdr:col>8</xdr:col>
          <xdr:colOff>0</xdr:colOff>
          <xdr:row>7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G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Product List 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Data" displayName="TabData" ref="A6:G70" totalsRowShown="0" headerRowDxfId="11" dataDxfId="9" headerRowBorderDxfId="10" tableBorderDxfId="8" totalsRowBorderDxfId="7">
  <autoFilter ref="A6:G70" xr:uid="{00000000-0009-0000-0100-000001000000}"/>
  <tableColumns count="7">
    <tableColumn id="2" xr3:uid="{00000000-0010-0000-0000-000002000000}" name="BENEF NAME" dataDxfId="6" dataCellStyle="Normal 4"/>
    <tableColumn id="6" xr3:uid="{00000000-0010-0000-0000-000006000000}" name="BANK CODE" dataDxfId="5" dataCellStyle="Normal 4"/>
    <tableColumn id="3" xr3:uid="{00000000-0010-0000-0000-000003000000}" name="BENEF ACCOUNT" dataDxfId="4" dataCellStyle="Normal 4"/>
    <tableColumn id="5" xr3:uid="{00000000-0010-0000-0000-000005000000}" name="AMOUNT" dataDxfId="3"/>
    <tableColumn id="4" xr3:uid="{00000000-0010-0000-0000-000004000000}" name="ACCOUNT VALIDATION" dataDxfId="2">
      <calculatedColumnFormula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calculatedColumnFormula>
    </tableColumn>
    <tableColumn id="7" xr3:uid="{00000000-0010-0000-0000-000007000000}" name="PAYMENT NARRATIVE" dataDxfId="1"/>
    <tableColumn id="1" xr3:uid="{00000000-0010-0000-0000-000001000000}" name="PAYMENT REF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G70"/>
  <sheetViews>
    <sheetView tabSelected="1" workbookViewId="0">
      <pane ySplit="6" topLeftCell="A7" activePane="bottomLeft" state="frozen"/>
      <selection pane="bottomLeft" activeCell="B7" sqref="B7"/>
    </sheetView>
  </sheetViews>
  <sheetFormatPr defaultColWidth="11.44140625" defaultRowHeight="15.6"/>
  <cols>
    <col min="1" max="1" width="30.21875" style="1" bestFit="1" customWidth="1"/>
    <col min="2" max="2" width="17.77734375" style="1" customWidth="1"/>
    <col min="3" max="3" width="14.21875" style="1" customWidth="1"/>
    <col min="4" max="4" width="24.21875" style="18" customWidth="1"/>
    <col min="5" max="5" width="21.21875" style="9" customWidth="1"/>
    <col min="6" max="6" width="23.5546875" style="3" customWidth="1"/>
    <col min="7" max="7" width="24" style="1" customWidth="1"/>
    <col min="8" max="16384" width="11.44140625" style="4"/>
  </cols>
  <sheetData>
    <row r="1" spans="1:7" s="2" customFormat="1">
      <c r="A1" s="36"/>
      <c r="B1" s="54" t="s">
        <v>51</v>
      </c>
      <c r="C1" s="55" t="s">
        <v>103</v>
      </c>
      <c r="D1" s="54" t="s">
        <v>50</v>
      </c>
      <c r="E1" s="55" t="s">
        <v>102</v>
      </c>
      <c r="F1" s="48"/>
      <c r="G1" s="37"/>
    </row>
    <row r="2" spans="1:7" s="2" customFormat="1">
      <c r="A2" s="38" t="s">
        <v>2</v>
      </c>
      <c r="B2" s="20" t="s">
        <v>5</v>
      </c>
      <c r="C2" s="17" t="s">
        <v>100</v>
      </c>
      <c r="D2" s="20" t="s">
        <v>83</v>
      </c>
      <c r="E2" s="25" t="s">
        <v>90</v>
      </c>
      <c r="F2" s="39"/>
      <c r="G2" s="37"/>
    </row>
    <row r="3" spans="1:7">
      <c r="A3" s="40"/>
      <c r="B3" s="20" t="s">
        <v>6</v>
      </c>
      <c r="C3" s="18" t="s">
        <v>104</v>
      </c>
      <c r="D3" s="33" t="s">
        <v>82</v>
      </c>
      <c r="E3" s="45" t="s">
        <v>101</v>
      </c>
      <c r="F3" s="42"/>
      <c r="G3" s="40"/>
    </row>
    <row r="4" spans="1:7">
      <c r="A4" s="40"/>
      <c r="B4" s="40"/>
      <c r="C4" s="40"/>
      <c r="D4" s="41"/>
      <c r="E4" s="16"/>
      <c r="F4" s="43"/>
      <c r="G4" s="40"/>
    </row>
    <row r="5" spans="1:7">
      <c r="A5" s="5" t="str">
        <f>"NUMBER OF PAYMENTS : " &amp; TEXT(COUNTA(TabData[AMOUNT]),"# #")</f>
        <v xml:space="preserve">NUMBER OF PAYMENTS :  </v>
      </c>
      <c r="B5" s="34"/>
      <c r="C5" s="40"/>
      <c r="D5" s="19" t="str">
        <f>"TOTAL = "&amp;TEXT(SUM(TabData[AMOUNT]),"00")</f>
        <v>TOTAL = 00</v>
      </c>
      <c r="E5" s="14"/>
      <c r="F5" s="43"/>
      <c r="G5" s="40"/>
    </row>
    <row r="6" spans="1:7" s="6" customFormat="1">
      <c r="A6" s="28" t="s">
        <v>7</v>
      </c>
      <c r="B6" s="35" t="s">
        <v>71</v>
      </c>
      <c r="C6" s="29" t="s">
        <v>8</v>
      </c>
      <c r="D6" s="30" t="s">
        <v>9</v>
      </c>
      <c r="E6" s="10" t="s">
        <v>34</v>
      </c>
      <c r="F6" s="31" t="s">
        <v>10</v>
      </c>
      <c r="G6" s="32" t="s">
        <v>11</v>
      </c>
    </row>
    <row r="7" spans="1:7">
      <c r="A7" s="56"/>
      <c r="B7" s="35"/>
      <c r="C7" s="57"/>
      <c r="D7" s="58"/>
      <c r="E7" s="7"/>
      <c r="F7" s="52"/>
      <c r="G7" s="46"/>
    </row>
    <row r="8" spans="1:7">
      <c r="A8" s="56"/>
      <c r="B8" s="35"/>
      <c r="C8" s="57"/>
      <c r="D8" s="58"/>
      <c r="E8" s="7"/>
      <c r="F8" s="52"/>
      <c r="G8" s="46"/>
    </row>
    <row r="9" spans="1:7">
      <c r="A9" s="56"/>
      <c r="B9" s="35"/>
      <c r="C9" s="59"/>
      <c r="D9" s="58"/>
      <c r="E9" s="7"/>
      <c r="F9" s="52"/>
      <c r="G9" s="46"/>
    </row>
    <row r="10" spans="1:7">
      <c r="A10" s="60"/>
      <c r="B10" s="35"/>
      <c r="C10" s="61"/>
      <c r="D10" s="62"/>
      <c r="E10" s="7"/>
      <c r="F10" s="52"/>
      <c r="G10" s="46"/>
    </row>
    <row r="11" spans="1:7">
      <c r="A11" s="56"/>
      <c r="B11" s="35"/>
      <c r="C11" s="57"/>
      <c r="D11" s="58"/>
      <c r="E11" s="7"/>
      <c r="F11" s="52"/>
      <c r="G11" s="46"/>
    </row>
    <row r="12" spans="1:7">
      <c r="A12" s="56"/>
      <c r="B12" s="35"/>
      <c r="C12" s="57"/>
      <c r="D12" s="58"/>
      <c r="E12" s="7"/>
      <c r="F12" s="52"/>
      <c r="G12" s="46"/>
    </row>
    <row r="13" spans="1:7">
      <c r="A13" s="56"/>
      <c r="B13" s="35"/>
      <c r="C13" s="57"/>
      <c r="D13" s="58"/>
      <c r="E13" s="7"/>
      <c r="F13" s="52"/>
      <c r="G13" s="46"/>
    </row>
    <row r="14" spans="1:7">
      <c r="A14" s="56"/>
      <c r="B14" s="35"/>
      <c r="C14" s="63"/>
      <c r="D14" s="58"/>
      <c r="E14" s="7"/>
      <c r="F14" s="52"/>
      <c r="G14" s="46"/>
    </row>
    <row r="15" spans="1:7">
      <c r="A15" s="56"/>
      <c r="B15" s="35"/>
      <c r="C15" s="64"/>
      <c r="D15" s="58"/>
      <c r="E15" s="7"/>
      <c r="F15" s="52"/>
      <c r="G15" s="46"/>
    </row>
    <row r="16" spans="1:7">
      <c r="A16" s="56"/>
      <c r="B16" s="35"/>
      <c r="C16" s="64"/>
      <c r="D16" s="58"/>
      <c r="E16" s="7"/>
      <c r="F16" s="52"/>
      <c r="G16" s="46"/>
    </row>
    <row r="17" spans="1:7">
      <c r="A17" s="61"/>
      <c r="B17" s="35"/>
      <c r="C17" s="65"/>
      <c r="D17" s="62"/>
      <c r="E17" s="7"/>
      <c r="F17" s="52"/>
      <c r="G17" s="46"/>
    </row>
    <row r="18" spans="1:7">
      <c r="A18" s="57"/>
      <c r="B18" s="35"/>
      <c r="C18" s="63"/>
      <c r="D18" s="58"/>
      <c r="E18" s="7"/>
      <c r="F18" s="52"/>
      <c r="G18" s="46"/>
    </row>
    <row r="19" spans="1:7">
      <c r="A19" s="57"/>
      <c r="B19" s="35"/>
      <c r="C19" s="64"/>
      <c r="D19" s="58"/>
      <c r="E19" s="7"/>
      <c r="F19" s="52"/>
      <c r="G19" s="46"/>
    </row>
    <row r="20" spans="1:7">
      <c r="A20" s="57"/>
      <c r="B20" s="35"/>
      <c r="C20" s="64"/>
      <c r="D20" s="66"/>
      <c r="E20" s="7"/>
      <c r="F20" s="52"/>
      <c r="G20" s="46"/>
    </row>
    <row r="21" spans="1:7">
      <c r="A21" s="57"/>
      <c r="B21" s="35"/>
      <c r="C21" s="64"/>
      <c r="D21" s="66"/>
      <c r="E21" s="7"/>
      <c r="F21" s="52"/>
      <c r="G21" s="46"/>
    </row>
    <row r="22" spans="1:7">
      <c r="A22" s="57"/>
      <c r="B22" s="35"/>
      <c r="C22" s="64"/>
      <c r="D22" s="66"/>
      <c r="E22" s="7"/>
      <c r="F22" s="52"/>
      <c r="G22" s="46"/>
    </row>
    <row r="23" spans="1:7">
      <c r="A23" s="57"/>
      <c r="B23" s="35"/>
      <c r="C23" s="67"/>
      <c r="D23" s="66"/>
      <c r="E23" s="7"/>
      <c r="F23" s="52"/>
      <c r="G23" s="46"/>
    </row>
    <row r="24" spans="1:7">
      <c r="A24" s="57"/>
      <c r="B24" s="35"/>
      <c r="C24" s="67"/>
      <c r="D24" s="66"/>
      <c r="E24" s="7"/>
      <c r="F24" s="52"/>
      <c r="G24" s="46"/>
    </row>
    <row r="25" spans="1:7">
      <c r="A25" s="57"/>
      <c r="B25" s="35"/>
      <c r="C25" s="67"/>
      <c r="D25" s="66"/>
      <c r="E25" s="7"/>
      <c r="F25" s="52"/>
      <c r="G25" s="46"/>
    </row>
    <row r="26" spans="1:7">
      <c r="A26" s="57"/>
      <c r="B26" s="35"/>
      <c r="C26" s="68"/>
      <c r="D26" s="66"/>
      <c r="E26" s="7"/>
      <c r="F26" s="52"/>
      <c r="G26" s="46"/>
    </row>
    <row r="27" spans="1:7">
      <c r="A27" s="57"/>
      <c r="B27" s="35"/>
      <c r="C27" s="68"/>
      <c r="D27" s="66"/>
      <c r="E27" s="7"/>
      <c r="F27" s="52"/>
      <c r="G27" s="46"/>
    </row>
    <row r="28" spans="1:7">
      <c r="A28" s="69"/>
      <c r="B28" s="35"/>
      <c r="C28" s="70"/>
      <c r="D28" s="71"/>
      <c r="E28" s="7"/>
      <c r="F28" s="52"/>
      <c r="G28" s="46"/>
    </row>
    <row r="29" spans="1:7">
      <c r="A29" s="57"/>
      <c r="B29" s="35"/>
      <c r="C29" s="64"/>
      <c r="D29" s="66"/>
      <c r="E29" s="7"/>
      <c r="F29" s="52"/>
      <c r="G29" s="46"/>
    </row>
    <row r="30" spans="1:7">
      <c r="A30" s="56"/>
      <c r="B30" s="35"/>
      <c r="C30" s="68"/>
      <c r="D30" s="66"/>
      <c r="E30" s="7"/>
      <c r="F30" s="52"/>
      <c r="G30" s="46"/>
    </row>
    <row r="31" spans="1:7">
      <c r="A31" s="56"/>
      <c r="B31" s="35"/>
      <c r="C31" s="68"/>
      <c r="D31" s="72"/>
      <c r="E31" s="7"/>
      <c r="F31" s="52"/>
      <c r="G31" s="46"/>
    </row>
    <row r="32" spans="1:7">
      <c r="A32" s="56"/>
      <c r="B32" s="35"/>
      <c r="C32" s="68"/>
      <c r="D32" s="72"/>
      <c r="E32" s="7"/>
      <c r="F32" s="52"/>
      <c r="G32" s="46"/>
    </row>
    <row r="33" spans="1:7">
      <c r="A33" s="56"/>
      <c r="B33" s="35"/>
      <c r="C33" s="57"/>
      <c r="D33" s="58"/>
      <c r="E33" s="7"/>
      <c r="F33" s="52"/>
      <c r="G33" s="46"/>
    </row>
    <row r="34" spans="1:7">
      <c r="A34" s="56"/>
      <c r="B34" s="35"/>
      <c r="C34" s="57"/>
      <c r="D34" s="58"/>
      <c r="E34" s="7"/>
      <c r="F34" s="52"/>
      <c r="G34" s="46"/>
    </row>
    <row r="35" spans="1:7">
      <c r="A35" s="57"/>
      <c r="B35" s="35"/>
      <c r="C35" s="64"/>
      <c r="D35" s="58"/>
      <c r="E35" s="7"/>
      <c r="F35" s="52"/>
      <c r="G35" s="46"/>
    </row>
    <row r="36" spans="1:7">
      <c r="A36" s="56"/>
      <c r="B36" s="35"/>
      <c r="C36" s="73"/>
      <c r="D36" s="74"/>
      <c r="E36" s="7"/>
      <c r="F36" s="52"/>
      <c r="G36" s="46"/>
    </row>
    <row r="37" spans="1:7">
      <c r="A37" s="56"/>
      <c r="B37" s="35"/>
      <c r="C37" s="64"/>
      <c r="D37" s="74"/>
      <c r="E37" s="7"/>
      <c r="F37" s="52"/>
      <c r="G37" s="46"/>
    </row>
    <row r="38" spans="1:7">
      <c r="A38" s="56"/>
      <c r="B38" s="35"/>
      <c r="C38" s="64"/>
      <c r="D38" s="74"/>
      <c r="E38" s="7"/>
      <c r="F38" s="52"/>
      <c r="G38" s="46"/>
    </row>
    <row r="39" spans="1:7">
      <c r="A39" s="56"/>
      <c r="B39" s="35"/>
      <c r="C39" s="75"/>
      <c r="D39" s="76"/>
      <c r="E39" s="7"/>
      <c r="F39" s="52"/>
      <c r="G39" s="46"/>
    </row>
    <row r="40" spans="1:7">
      <c r="A40" s="56"/>
      <c r="B40" s="35"/>
      <c r="C40" s="64"/>
      <c r="D40" s="77"/>
      <c r="E40" s="7"/>
      <c r="F40" s="52"/>
      <c r="G40" s="46"/>
    </row>
    <row r="41" spans="1:7">
      <c r="A41" s="56"/>
      <c r="B41" s="35"/>
      <c r="C41" s="75"/>
      <c r="D41" s="76"/>
      <c r="E41" s="7"/>
      <c r="F41" s="52"/>
      <c r="G41" s="46"/>
    </row>
    <row r="42" spans="1:7">
      <c r="A42"/>
      <c r="B42" s="35"/>
      <c r="C42" s="57"/>
      <c r="D42" s="77"/>
      <c r="E42" s="7"/>
      <c r="F42" s="52"/>
      <c r="G42" s="46"/>
    </row>
    <row r="43" spans="1:7">
      <c r="A43"/>
      <c r="B43" s="35"/>
      <c r="C43" s="57"/>
      <c r="D43" s="77"/>
      <c r="E43" s="7"/>
      <c r="F43" s="52"/>
      <c r="G43" s="46"/>
    </row>
    <row r="44" spans="1:7">
      <c r="A44" s="78"/>
      <c r="B44" s="35"/>
      <c r="C44" s="57"/>
      <c r="D44" s="77"/>
      <c r="E44" s="7"/>
      <c r="F44" s="52"/>
      <c r="G44" s="46"/>
    </row>
    <row r="45" spans="1:7">
      <c r="A45" s="78"/>
      <c r="B45" s="35"/>
      <c r="C45" s="59"/>
      <c r="D45" s="77"/>
      <c r="E45" s="7"/>
      <c r="F45" s="52"/>
      <c r="G45" s="46"/>
    </row>
    <row r="46" spans="1:7">
      <c r="A46" s="78"/>
      <c r="B46" s="35"/>
      <c r="C46" s="59"/>
      <c r="D46" s="77"/>
      <c r="E46" s="7"/>
      <c r="F46" s="52"/>
      <c r="G46" s="46"/>
    </row>
    <row r="47" spans="1:7">
      <c r="A47" s="78"/>
      <c r="B47" s="35"/>
      <c r="C47" s="59"/>
      <c r="D47" s="77"/>
      <c r="E47" s="7"/>
      <c r="F47" s="52"/>
      <c r="G47" s="46"/>
    </row>
    <row r="48" spans="1:7">
      <c r="A48" s="78"/>
      <c r="B48" s="35"/>
      <c r="C48" s="59"/>
      <c r="D48" s="77"/>
      <c r="E48" s="7"/>
      <c r="F48" s="52"/>
      <c r="G48" s="46"/>
    </row>
    <row r="49" spans="1:7">
      <c r="A49" s="49"/>
      <c r="B49" s="35"/>
      <c r="C49" s="47"/>
      <c r="D49" s="53"/>
      <c r="E49" s="7" t="str">
        <f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f>
        <v/>
      </c>
      <c r="F49" s="8"/>
      <c r="G49" s="51"/>
    </row>
    <row r="50" spans="1:7">
      <c r="A50" s="49"/>
      <c r="B50" s="35"/>
      <c r="C50" s="47"/>
      <c r="D50" s="53"/>
      <c r="E50" s="7" t="str">
        <f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f>
        <v/>
      </c>
      <c r="F50" s="8"/>
      <c r="G50" s="51"/>
    </row>
    <row r="51" spans="1:7">
      <c r="A51" s="49"/>
      <c r="B51" s="35"/>
      <c r="C51" s="47"/>
      <c r="D51" s="53"/>
      <c r="E51" s="7" t="str">
        <f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f>
        <v/>
      </c>
      <c r="F51" s="8"/>
      <c r="G51" s="51"/>
    </row>
    <row r="52" spans="1:7">
      <c r="A52" s="49"/>
      <c r="B52" s="35"/>
      <c r="C52" s="47"/>
      <c r="D52" s="53"/>
      <c r="E52" s="7" t="str">
        <f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f>
        <v/>
      </c>
      <c r="F52" s="8"/>
      <c r="G52" s="51"/>
    </row>
    <row r="53" spans="1:7">
      <c r="A53" s="49"/>
      <c r="B53" s="35"/>
      <c r="C53" s="47"/>
      <c r="D53" s="53"/>
      <c r="E53" s="7" t="str">
        <f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f>
        <v/>
      </c>
      <c r="F53" s="8"/>
      <c r="G53" s="51"/>
    </row>
    <row r="54" spans="1:7">
      <c r="A54" s="49"/>
      <c r="B54" s="35"/>
      <c r="C54" s="47"/>
      <c r="D54" s="53"/>
      <c r="E54" s="7" t="str">
        <f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f>
        <v/>
      </c>
      <c r="F54" s="8"/>
      <c r="G54" s="51"/>
    </row>
    <row r="55" spans="1:7">
      <c r="A55" s="49"/>
      <c r="B55" s="35"/>
      <c r="C55" s="47"/>
      <c r="D55" s="53"/>
      <c r="E55" s="7" t="str">
        <f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f>
        <v/>
      </c>
      <c r="F55" s="8"/>
      <c r="G55" s="51"/>
    </row>
    <row r="56" spans="1:7">
      <c r="A56" s="49"/>
      <c r="B56" s="35"/>
      <c r="C56" s="47"/>
      <c r="D56" s="53"/>
      <c r="E56" s="7" t="str">
        <f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f>
        <v/>
      </c>
      <c r="F56" s="8"/>
      <c r="G56" s="51"/>
    </row>
    <row r="57" spans="1:7">
      <c r="A57" s="49"/>
      <c r="B57" s="35"/>
      <c r="C57" s="47"/>
      <c r="D57" s="53"/>
      <c r="E57" s="7" t="str">
        <f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f>
        <v/>
      </c>
      <c r="F57" s="8"/>
      <c r="G57" s="51"/>
    </row>
    <row r="58" spans="1:7">
      <c r="A58" s="49"/>
      <c r="B58" s="35"/>
      <c r="C58" s="47"/>
      <c r="D58" s="53"/>
      <c r="E58" s="7" t="str">
        <f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f>
        <v/>
      </c>
      <c r="F58" s="8"/>
      <c r="G58" s="51"/>
    </row>
    <row r="59" spans="1:7">
      <c r="A59" s="49"/>
      <c r="B59" s="35"/>
      <c r="C59" s="47"/>
      <c r="D59" s="53"/>
      <c r="E59" s="7" t="str">
        <f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f>
        <v/>
      </c>
      <c r="F59" s="8"/>
      <c r="G59" s="51"/>
    </row>
    <row r="60" spans="1:7">
      <c r="A60" s="49"/>
      <c r="B60" s="35"/>
      <c r="C60" s="47"/>
      <c r="D60" s="53"/>
      <c r="E60" s="7" t="str">
        <f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f>
        <v/>
      </c>
      <c r="F60" s="8"/>
      <c r="G60" s="51"/>
    </row>
    <row r="61" spans="1:7">
      <c r="A61" s="49"/>
      <c r="B61" s="35"/>
      <c r="C61" s="47"/>
      <c r="D61" s="53"/>
      <c r="E61" s="7" t="str">
        <f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f>
        <v/>
      </c>
      <c r="F61" s="8"/>
      <c r="G61" s="51"/>
    </row>
    <row r="62" spans="1:7">
      <c r="A62" s="49"/>
      <c r="B62" s="35"/>
      <c r="C62" s="47"/>
      <c r="D62" s="53"/>
      <c r="E62" s="7" t="str">
        <f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f>
        <v/>
      </c>
      <c r="F62" s="8"/>
      <c r="G62" s="51"/>
    </row>
    <row r="63" spans="1:7">
      <c r="A63" s="49"/>
      <c r="B63" s="35"/>
      <c r="C63" s="47"/>
      <c r="D63" s="53"/>
      <c r="E63" s="7" t="str">
        <f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f>
        <v/>
      </c>
      <c r="F63" s="8"/>
      <c r="G63" s="51"/>
    </row>
    <row r="64" spans="1:7">
      <c r="A64" s="49"/>
      <c r="B64" s="35"/>
      <c r="C64" s="47"/>
      <c r="D64" s="53"/>
      <c r="E64" s="7" t="str">
        <f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f>
        <v/>
      </c>
      <c r="F64" s="8"/>
      <c r="G64" s="51"/>
    </row>
    <row r="65" spans="1:7">
      <c r="A65" s="49"/>
      <c r="B65" s="35"/>
      <c r="C65" s="47"/>
      <c r="D65" s="50"/>
      <c r="E65" s="7" t="str">
        <f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f>
        <v/>
      </c>
      <c r="F65" s="8"/>
      <c r="G65" s="51"/>
    </row>
    <row r="66" spans="1:7">
      <c r="A66" s="49"/>
      <c r="B66" s="35"/>
      <c r="C66" s="47"/>
      <c r="D66" s="50"/>
      <c r="E66" s="7" t="str">
        <f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f>
        <v/>
      </c>
      <c r="F66" s="8"/>
      <c r="G66" s="51"/>
    </row>
    <row r="67" spans="1:7">
      <c r="A67" s="49"/>
      <c r="B67" s="35"/>
      <c r="C67" s="47"/>
      <c r="D67" s="50"/>
      <c r="E67" s="7" t="str">
        <f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f>
        <v/>
      </c>
      <c r="F67" s="8"/>
      <c r="G67" s="51"/>
    </row>
    <row r="68" spans="1:7">
      <c r="A68" s="49"/>
      <c r="B68" s="35"/>
      <c r="C68" s="47"/>
      <c r="D68" s="50"/>
      <c r="E68" s="7" t="str">
        <f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f>
        <v/>
      </c>
      <c r="F68" s="8"/>
      <c r="G68" s="51"/>
    </row>
    <row r="69" spans="1:7">
      <c r="A69" s="49"/>
      <c r="B69" s="35"/>
      <c r="C69" s="47"/>
      <c r="D69" s="50"/>
      <c r="E69" s="7" t="str">
        <f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f>
        <v/>
      </c>
      <c r="F69" s="8"/>
      <c r="G69" s="51"/>
    </row>
    <row r="70" spans="1:7">
      <c r="A70" s="49"/>
      <c r="B70" s="35"/>
      <c r="C70" s="47"/>
      <c r="D70" s="50"/>
      <c r="E70" s="7" t="str">
        <f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f>
        <v/>
      </c>
      <c r="F70" s="8"/>
      <c r="G70" s="51"/>
    </row>
  </sheetData>
  <sheetProtection selectLockedCells="1"/>
  <protectedRanges>
    <protectedRange sqref="A8" name="Range1_3"/>
    <protectedRange sqref="C11:C12 C7:C8" name="Range1_3_1"/>
    <protectedRange sqref="D8" name="Range1_3_2"/>
    <protectedRange sqref="C1" name="Range1_3_3"/>
  </protectedRanges>
  <phoneticPr fontId="24" type="noConversion"/>
  <dataValidations count="6">
    <dataValidation type="list" showInputMessage="1" showErrorMessage="1" sqref="E2" xr:uid="{C69A294B-9CAF-4237-968A-F4D1BB35B078}">
      <formula1>"VENDOR PAYMENTS,PAYROLL PAYMENT"</formula1>
    </dataValidation>
    <dataValidation type="textLength" operator="lessThanOrEqual" allowBlank="1" showInputMessage="1" showErrorMessage="1" error="La longueur maximum de ce champ est 20 caractères" sqref="A71:A1048576" xr:uid="{00000000-0002-0000-0000-000001000000}">
      <formula1>20</formula1>
    </dataValidation>
    <dataValidation type="textLength" operator="equal" allowBlank="1" showInputMessage="1" showErrorMessage="1" errorTitle="BENEFICIARY ACCOUNT NUMBER" error="THE LENGTH OF THE BENEFICIARY ACCOUNT NUMBER SHOULD BE 10 DIGITS LIKE  AAAAAAAAAC" sqref="C71:C1048576 C7:C48" xr:uid="{00000000-0002-0000-0000-000005000000}">
      <formula1>10</formula1>
    </dataValidation>
    <dataValidation type="decimal" allowBlank="1" showInputMessage="1" showErrorMessage="1" errorTitle="WRONG AMONT ENTERED" error="PLEASE ENTER VALID AMOUNT (ONLY DIGITS)." sqref="D7:D1048576" xr:uid="{00000000-0002-0000-0000-000002000000}">
      <formula1>0</formula1>
      <formula2>99999999999999900000</formula2>
    </dataValidation>
    <dataValidation type="textLength" operator="lessThanOrEqual" allowBlank="1" showInputMessage="1" showErrorMessage="1" errorTitle="ERROR: LENGTH EXCEEDED" error="THE MAXIMUM LENGTH OF THE PAYMENT NARRATIVE IS 40 CHARACTERS._x000a__x000a_PLEASE REVIEW THE LENGTH OF THE NARRATIVE ENTERED" sqref="F49:F1048576" xr:uid="{00000000-0002-0000-0000-000003000000}">
      <formula1>40</formula1>
    </dataValidation>
    <dataValidation type="textLength" operator="lessThanOrEqual" allowBlank="1" showInputMessage="1" showErrorMessage="1" errorTitle="ERROR: LENGTH EXCEEDED" error="THE MAXIMUM LENGTH OF THE PAYMENT REFERENCE IS 20 CHARACTERS._x000a__x000a_PLEASE REVIEW THE LENGTH OF THE REFERENCE ENTERED" sqref="G7:G1048576" xr:uid="{00000000-0002-0000-0000-000004000000}">
      <formula1>20</formula1>
    </dataValidation>
  </dataValidations>
  <pageMargins left="0.70866141732283472" right="0.70866141732283472" top="0.74803149606299213" bottom="0.74803149606299213" header="0.31496062992125984" footer="0.31496062992125984"/>
  <pageSetup paperSize="9" scale="75" fitToWidth="0" fitToHeight="0" orientation="portrait" r:id="rId1"/>
  <headerFooter>
    <oddFooter>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FileGeneration">
                <anchor moveWithCells="1" sizeWithCells="1">
                  <from>
                    <xdr:col>0</xdr:col>
                    <xdr:colOff>15240</xdr:colOff>
                    <xdr:row>0</xdr:row>
                    <xdr:rowOff>68580</xdr:rowOff>
                  </from>
                  <to>
                    <xdr:col>1</xdr:col>
                    <xdr:colOff>15240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B577444-61F5-419D-B935-699A8DA2F5AC}">
          <x14:formula1>
            <xm:f>PARAM!$A$2:$A$25</xm:f>
          </x14:formula1>
          <xm:sqref>B71:B1048576</xm:sqref>
        </x14:dataValidation>
        <x14:dataValidation type="list" allowBlank="1" showInputMessage="1" showErrorMessage="1" xr:uid="{04121ECB-8059-4C80-8A09-0D7A5D8A12CD}">
          <x14:formula1>
            <xm:f>PARAM!$C$3:$C$25</xm:f>
          </x14:formula1>
          <xm:sqref>B7:B70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aram"/>
  <dimension ref="A1:I25"/>
  <sheetViews>
    <sheetView workbookViewId="0">
      <selection activeCell="A22" sqref="A22"/>
    </sheetView>
  </sheetViews>
  <sheetFormatPr defaultColWidth="10.77734375" defaultRowHeight="14.4"/>
  <cols>
    <col min="1" max="1" width="10.77734375" bestFit="1" customWidth="1"/>
    <col min="2" max="2" width="13.77734375" style="27" bestFit="1" customWidth="1"/>
    <col min="3" max="3" width="30.77734375" bestFit="1" customWidth="1"/>
    <col min="4" max="4" width="12.21875" customWidth="1"/>
    <col min="5" max="5" width="22" bestFit="1" customWidth="1"/>
    <col min="6" max="6" width="11" customWidth="1"/>
    <col min="7" max="7" width="12.77734375" customWidth="1"/>
    <col min="8" max="8" width="10" customWidth="1"/>
    <col min="9" max="9" width="11" customWidth="1"/>
  </cols>
  <sheetData>
    <row r="1" spans="1:9">
      <c r="A1" s="11" t="s">
        <v>12</v>
      </c>
      <c r="B1" s="26" t="s">
        <v>58</v>
      </c>
      <c r="C1" s="11" t="s">
        <v>49</v>
      </c>
      <c r="D1" s="11"/>
      <c r="E1" s="11" t="s">
        <v>0</v>
      </c>
      <c r="F1" t="s">
        <v>57</v>
      </c>
    </row>
    <row r="2" spans="1:9">
      <c r="A2" t="s">
        <v>13</v>
      </c>
      <c r="B2" s="27" t="s">
        <v>87</v>
      </c>
      <c r="C2" t="s">
        <v>35</v>
      </c>
      <c r="E2" s="11"/>
    </row>
    <row r="3" spans="1:9" ht="15" customHeight="1">
      <c r="A3" s="46" t="s">
        <v>91</v>
      </c>
      <c r="B3" s="27" t="s">
        <v>68</v>
      </c>
      <c r="C3" t="s">
        <v>38</v>
      </c>
      <c r="F3" s="22"/>
      <c r="G3" s="23"/>
      <c r="H3" s="23"/>
      <c r="I3" s="23"/>
    </row>
    <row r="4" spans="1:9" ht="15" customHeight="1">
      <c r="A4" t="s">
        <v>14</v>
      </c>
      <c r="B4" s="27" t="s">
        <v>59</v>
      </c>
      <c r="C4" t="s">
        <v>37</v>
      </c>
      <c r="E4" s="11" t="s">
        <v>1</v>
      </c>
      <c r="F4" t="s">
        <v>88</v>
      </c>
      <c r="G4" t="s">
        <v>96</v>
      </c>
      <c r="H4" s="44" t="s">
        <v>89</v>
      </c>
      <c r="I4" t="s">
        <v>90</v>
      </c>
    </row>
    <row r="5" spans="1:9">
      <c r="A5" t="s">
        <v>22</v>
      </c>
      <c r="B5" s="27" t="s">
        <v>64</v>
      </c>
      <c r="C5" t="s">
        <v>44</v>
      </c>
      <c r="E5" s="11" t="s">
        <v>55</v>
      </c>
      <c r="F5" t="s">
        <v>97</v>
      </c>
      <c r="G5" s="21" t="s">
        <v>52</v>
      </c>
      <c r="H5" s="21" t="s">
        <v>97</v>
      </c>
      <c r="I5" s="21" t="s">
        <v>52</v>
      </c>
    </row>
    <row r="6" spans="1:9">
      <c r="A6" t="s">
        <v>33</v>
      </c>
      <c r="B6" s="27" t="s">
        <v>95</v>
      </c>
      <c r="C6" t="s">
        <v>48</v>
      </c>
    </row>
    <row r="7" spans="1:9">
      <c r="A7" t="s">
        <v>19</v>
      </c>
      <c r="B7" s="27" t="s">
        <v>92</v>
      </c>
      <c r="C7" t="s">
        <v>43</v>
      </c>
      <c r="E7" s="11" t="s">
        <v>54</v>
      </c>
      <c r="F7" s="24">
        <v>4</v>
      </c>
      <c r="G7" s="21"/>
      <c r="H7" s="21"/>
    </row>
    <row r="8" spans="1:9">
      <c r="A8" t="s">
        <v>17</v>
      </c>
      <c r="B8" s="27" t="s">
        <v>66</v>
      </c>
      <c r="C8" t="s">
        <v>41</v>
      </c>
      <c r="E8" s="11" t="s">
        <v>56</v>
      </c>
      <c r="F8" t="s">
        <v>53</v>
      </c>
    </row>
    <row r="9" spans="1:9">
      <c r="A9" t="s">
        <v>30</v>
      </c>
      <c r="B9" s="27" t="s">
        <v>61</v>
      </c>
      <c r="C9" t="s">
        <v>73</v>
      </c>
      <c r="E9" s="11"/>
    </row>
    <row r="10" spans="1:9">
      <c r="A10" t="s">
        <v>31</v>
      </c>
      <c r="B10" s="27" t="s">
        <v>60</v>
      </c>
      <c r="C10" t="s">
        <v>46</v>
      </c>
    </row>
    <row r="11" spans="1:9">
      <c r="A11" t="s">
        <v>25</v>
      </c>
      <c r="B11" s="27" t="s">
        <v>63</v>
      </c>
      <c r="C11" t="s">
        <v>74</v>
      </c>
    </row>
    <row r="12" spans="1:9">
      <c r="A12" t="s">
        <v>21</v>
      </c>
      <c r="B12" s="27" t="s">
        <v>84</v>
      </c>
      <c r="C12" t="s">
        <v>4</v>
      </c>
      <c r="E12" s="12" t="s">
        <v>4</v>
      </c>
      <c r="F12" s="15" t="s">
        <v>21</v>
      </c>
    </row>
    <row r="13" spans="1:9">
      <c r="A13" t="s">
        <v>18</v>
      </c>
      <c r="B13" s="27" t="s">
        <v>93</v>
      </c>
      <c r="C13" t="s">
        <v>42</v>
      </c>
      <c r="E13" s="12" t="s">
        <v>72</v>
      </c>
      <c r="F13" s="15" t="s">
        <v>84</v>
      </c>
    </row>
    <row r="14" spans="1:9">
      <c r="A14" t="s">
        <v>16</v>
      </c>
      <c r="B14" s="27" t="s">
        <v>67</v>
      </c>
      <c r="C14" t="s">
        <v>40</v>
      </c>
      <c r="E14" s="12" t="s">
        <v>3</v>
      </c>
      <c r="F14" s="13" t="s">
        <v>36</v>
      </c>
    </row>
    <row r="15" spans="1:9">
      <c r="A15" t="s">
        <v>23</v>
      </c>
      <c r="B15" s="27" t="s">
        <v>94</v>
      </c>
      <c r="C15" t="s">
        <v>75</v>
      </c>
      <c r="E15" s="12" t="s">
        <v>69</v>
      </c>
      <c r="F15" s="13" t="s">
        <v>70</v>
      </c>
    </row>
    <row r="16" spans="1:9">
      <c r="A16" t="s">
        <v>24</v>
      </c>
      <c r="B16" s="27" t="s">
        <v>86</v>
      </c>
      <c r="C16" t="s">
        <v>76</v>
      </c>
    </row>
    <row r="17" spans="1:3">
      <c r="A17" t="s">
        <v>20</v>
      </c>
      <c r="B17" s="27" t="s">
        <v>65</v>
      </c>
      <c r="C17" t="s">
        <v>77</v>
      </c>
    </row>
    <row r="18" spans="1:3">
      <c r="A18" t="s">
        <v>26</v>
      </c>
      <c r="B18" s="27" t="s">
        <v>62</v>
      </c>
      <c r="C18" t="s">
        <v>78</v>
      </c>
    </row>
    <row r="19" spans="1:3">
      <c r="A19" t="s">
        <v>15</v>
      </c>
      <c r="B19" s="27">
        <v>214159996</v>
      </c>
      <c r="C19" t="s">
        <v>39</v>
      </c>
    </row>
    <row r="20" spans="1:3">
      <c r="A20" t="s">
        <v>15</v>
      </c>
      <c r="B20" s="27">
        <v>214150018</v>
      </c>
      <c r="C20" t="s">
        <v>45</v>
      </c>
    </row>
    <row r="21" spans="1:3">
      <c r="A21" t="s">
        <v>27</v>
      </c>
      <c r="B21" s="27">
        <v>215203634</v>
      </c>
      <c r="C21" t="s">
        <v>79</v>
      </c>
    </row>
    <row r="22" spans="1:3">
      <c r="A22" t="s">
        <v>28</v>
      </c>
      <c r="B22" s="27" t="s">
        <v>85</v>
      </c>
      <c r="C22" t="s">
        <v>80</v>
      </c>
    </row>
    <row r="23" spans="1:3">
      <c r="A23" t="s">
        <v>29</v>
      </c>
      <c r="B23" s="27">
        <v>232150032</v>
      </c>
      <c r="C23" t="s">
        <v>81</v>
      </c>
    </row>
    <row r="24" spans="1:3">
      <c r="A24" t="s">
        <v>32</v>
      </c>
      <c r="B24" s="27">
        <v>301080020</v>
      </c>
      <c r="C24" t="s">
        <v>47</v>
      </c>
    </row>
    <row r="25" spans="1:3">
      <c r="A25" s="46" t="s">
        <v>98</v>
      </c>
      <c r="B25" s="27" t="s">
        <v>63</v>
      </c>
      <c r="C25" t="s">
        <v>99</v>
      </c>
    </row>
  </sheetData>
  <dataValidations count="1">
    <dataValidation type="list" allowBlank="1" showInputMessage="1" showErrorMessage="1" sqref="A22" xr:uid="{ACEB75F1-2D58-4B9C-8805-5A91F0DBF97D}">
      <formula1>$C$3:$C$25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ProductList">
                <anchor moveWithCells="1" sizeWithCells="1">
                  <from>
                    <xdr:col>6</xdr:col>
                    <xdr:colOff>0</xdr:colOff>
                    <xdr:row>7</xdr:row>
                    <xdr:rowOff>30480</xdr:rowOff>
                  </from>
                  <to>
                    <xdr:col>8</xdr:col>
                    <xdr:colOff>0</xdr:colOff>
                    <xdr:row>7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DATA</vt:lpstr>
      <vt:lpstr>PARAM</vt:lpstr>
      <vt:lpstr>DATA!Print_Area</vt:lpstr>
      <vt:lpstr>DATA!Print_Titles</vt:lpstr>
    </vt:vector>
  </TitlesOfParts>
  <Manager>FDIBY@ecobank.com</Manager>
  <Company>ECOBANK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Fichier de Paiements OMNI</dc:title>
  <dc:creator>Franck DIBY</dc:creator>
  <cp:lastModifiedBy>Tema</cp:lastModifiedBy>
  <cp:lastPrinted>2020-01-21T11:32:04Z</cp:lastPrinted>
  <dcterms:created xsi:type="dcterms:W3CDTF">2016-07-21T18:49:26Z</dcterms:created>
  <dcterms:modified xsi:type="dcterms:W3CDTF">2022-11-03T04:51:37Z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d1125dd-bf53-44e5-9190-44d9dee7bafb_Enabled">
    <vt:lpwstr>true</vt:lpwstr>
  </property>
  <property fmtid="{D5CDD505-2E9C-101B-9397-08002B2CF9AE}" pid="3" name="MSIP_Label_dd1125dd-bf53-44e5-9190-44d9dee7bafb_SetDate">
    <vt:lpwstr>2022-05-31T14:31:39Z</vt:lpwstr>
  </property>
  <property fmtid="{D5CDD505-2E9C-101B-9397-08002B2CF9AE}" pid="4" name="MSIP_Label_dd1125dd-bf53-44e5-9190-44d9dee7bafb_Method">
    <vt:lpwstr>Privileged</vt:lpwstr>
  </property>
  <property fmtid="{D5CDD505-2E9C-101B-9397-08002B2CF9AE}" pid="5" name="MSIP_Label_dd1125dd-bf53-44e5-9190-44d9dee7bafb_Name">
    <vt:lpwstr>dd1125dd-bf53-44e5-9190-44d9dee7bafb</vt:lpwstr>
  </property>
  <property fmtid="{D5CDD505-2E9C-101B-9397-08002B2CF9AE}" pid="6" name="MSIP_Label_dd1125dd-bf53-44e5-9190-44d9dee7bafb_SiteId">
    <vt:lpwstr>6400df67-1817-484e-84ae-ed3b97ca1620</vt:lpwstr>
  </property>
  <property fmtid="{D5CDD505-2E9C-101B-9397-08002B2CF9AE}" pid="7" name="MSIP_Label_dd1125dd-bf53-44e5-9190-44d9dee7bafb_ActionId">
    <vt:lpwstr>6269d686-3851-4bc4-bd7d-2785139704c0</vt:lpwstr>
  </property>
  <property fmtid="{D5CDD505-2E9C-101B-9397-08002B2CF9AE}" pid="8" name="MSIP_Label_dd1125dd-bf53-44e5-9190-44d9dee7bafb_ContentBits">
    <vt:lpwstr>0</vt:lpwstr>
  </property>
</Properties>
</file>